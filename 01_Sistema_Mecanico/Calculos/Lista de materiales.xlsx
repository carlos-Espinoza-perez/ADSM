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Universidad\3. Trimestre - 2026\Analisis y diseno de sistemas mecatronicos\"/>
    </mc:Choice>
  </mc:AlternateContent>
  <xr:revisionPtr revIDLastSave="0" documentId="13_ncr:1_{D149C15B-688A-4330-A259-0358ED6F0BE3}" xr6:coauthVersionLast="47" xr6:coauthVersionMax="47" xr10:uidLastSave="{00000000-0000-0000-0000-000000000000}"/>
  <bookViews>
    <workbookView xWindow="-120" yWindow="-120" windowWidth="29040" windowHeight="15720" xr2:uid="{2760E179-6D91-450A-8F37-83C50AC09CE4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4" i="1" l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4" i="1"/>
  <c r="L5" i="1"/>
  <c r="L6" i="1"/>
  <c r="L7" i="1"/>
  <c r="L8" i="1"/>
  <c r="L9" i="1"/>
  <c r="L10" i="1"/>
  <c r="L11" i="1"/>
  <c r="L12" i="1"/>
  <c r="L13" i="1"/>
  <c r="L3" i="1"/>
  <c r="L28" i="1" l="1"/>
</calcChain>
</file>

<file path=xl/sharedStrings.xml><?xml version="1.0" encoding="utf-8"?>
<sst xmlns="http://schemas.openxmlformats.org/spreadsheetml/2006/main" count="71" uniqueCount="71">
  <si>
    <t>Componente</t>
  </si>
  <si>
    <t>Especificación</t>
  </si>
  <si>
    <t>Cant.</t>
  </si>
  <si>
    <t>Sensor angular AS5600</t>
  </si>
  <si>
    <r>
      <t xml:space="preserve">12 bits, I²C, </t>
    </r>
    <r>
      <rPr>
        <b/>
        <sz val="11"/>
        <color theme="1"/>
        <rFont val="Aptos Narrow"/>
        <family val="2"/>
        <scheme val="minor"/>
      </rPr>
      <t>con imán diametral</t>
    </r>
  </si>
  <si>
    <t>Celda de carga</t>
  </si>
  <si>
    <t>Barra TAL220 o similar, 50 kg, 1 mV/V</t>
  </si>
  <si>
    <t>Módulo HX711</t>
  </si>
  <si>
    <t>Pin RATE accesible para 80 SPS</t>
  </si>
  <si>
    <t>Motorreductor JGA25-370</t>
  </si>
  <si>
    <r>
      <t xml:space="preserve">12 V, </t>
    </r>
    <r>
      <rPr>
        <b/>
        <sz val="11"/>
        <color theme="1"/>
        <rFont val="Aptos Narrow"/>
        <family val="2"/>
        <scheme val="minor"/>
      </rPr>
      <t>400 rpm</t>
    </r>
    <r>
      <rPr>
        <sz val="11"/>
        <color theme="1"/>
        <rFont val="Aptos Narrow"/>
        <family val="2"/>
        <scheme val="minor"/>
      </rPr>
      <t>, con encoder, par ≥ 0.8 kg·cm</t>
    </r>
  </si>
  <si>
    <t>Módulo MPU6050 GY-521</t>
  </si>
  <si>
    <t>6 ejes, I²C, suelto</t>
  </si>
  <si>
    <t>Driver de motor</t>
  </si>
  <si>
    <t>DRV8871, o TB6612FNG</t>
  </si>
  <si>
    <t>Fuente conmutada</t>
  </si>
  <si>
    <t>12 V, 3 A</t>
  </si>
  <si>
    <t>Módulo LM2596</t>
  </si>
  <si>
    <t>Ajustable, 12 V a 5 V</t>
  </si>
  <si>
    <t>Microswitch</t>
  </si>
  <si>
    <t>Acción rápida, palanca corta</t>
  </si>
  <si>
    <t>Capacitor electrolítico</t>
  </si>
  <si>
    <t>1000 µF / 25 V</t>
  </si>
  <si>
    <t>Capacitor cerámico</t>
  </si>
  <si>
    <t>100 nF</t>
  </si>
  <si>
    <t>Fusible retardado 3 A</t>
  </si>
  <si>
    <t>5 × 20 mm, con portafusible</t>
  </si>
  <si>
    <t>LED 5 mm</t>
  </si>
  <si>
    <t>Verde, ámbar, rojo</t>
  </si>
  <si>
    <t>Buzzer pasivo</t>
  </si>
  <si>
    <t>5 V</t>
  </si>
  <si>
    <t>Resistencias</t>
  </si>
  <si>
    <r>
      <t xml:space="preserve">220 Ω, 10 kΩ y </t>
    </r>
    <r>
      <rPr>
        <b/>
        <sz val="11"/>
        <color theme="1"/>
        <rFont val="Aptos Narrow"/>
        <family val="2"/>
        <scheme val="minor"/>
      </rPr>
      <t>33 kΩ</t>
    </r>
  </si>
  <si>
    <t>10 c/u</t>
  </si>
  <si>
    <t>Protoboard</t>
  </si>
  <si>
    <t>830 puntos</t>
  </si>
  <si>
    <t>Placa perforada</t>
  </si>
  <si>
    <t>Universal doble cara</t>
  </si>
  <si>
    <t>Cable Dupont</t>
  </si>
  <si>
    <t>Macho-macho y macho-hembra</t>
  </si>
  <si>
    <t>2 juegos</t>
  </si>
  <si>
    <t>Estaño de soldadura</t>
  </si>
  <si>
    <t>0.8 mm con núcleo de resina</t>
  </si>
  <si>
    <t>1 rollo</t>
  </si>
  <si>
    <t>Insertos de latón M3</t>
  </si>
  <si>
    <t>Para impresión 3D</t>
  </si>
  <si>
    <t>Rodamientos</t>
  </si>
  <si>
    <t>686ZZ o bujes de bronce 6 mm</t>
  </si>
  <si>
    <t>Eje de acero</t>
  </si>
  <si>
    <t>6 mm × 100 mm</t>
  </si>
  <si>
    <t>Tornillería</t>
  </si>
  <si>
    <r>
      <t xml:space="preserve">M3, </t>
    </r>
    <r>
      <rPr>
        <b/>
        <sz val="11"/>
        <color theme="1"/>
        <rFont val="Aptos Narrow"/>
        <family val="2"/>
        <scheme val="minor"/>
      </rPr>
      <t>M4 y M5</t>
    </r>
    <r>
      <rPr>
        <sz val="11"/>
        <color theme="1"/>
        <rFont val="Aptos Narrow"/>
        <family val="2"/>
        <scheme val="minor"/>
      </rPr>
      <t xml:space="preserve"> con tuercas de nylon</t>
    </r>
  </si>
  <si>
    <t>1 juego</t>
  </si>
  <si>
    <t>Filamento PLA+</t>
  </si>
  <si>
    <t>1.75 mm, 1 kg</t>
  </si>
  <si>
    <t>Precio (C$)</t>
  </si>
  <si>
    <t>Cantidad a comprar</t>
  </si>
  <si>
    <t>Arduino Nicaragua</t>
  </si>
  <si>
    <t>Electrocomponentes</t>
  </si>
  <si>
    <t>Amazon</t>
  </si>
  <si>
    <t>Precio</t>
  </si>
  <si>
    <t>Cantidad</t>
  </si>
  <si>
    <t>Precio dll</t>
  </si>
  <si>
    <t>Cantidad und</t>
  </si>
  <si>
    <t>Porta fusible</t>
  </si>
  <si>
    <t>Columna1</t>
  </si>
  <si>
    <t>https://www.amazon.com/dp/B09KGWC1PT</t>
  </si>
  <si>
    <t>https://www.amazon.com/-/es/gp/product/B0DYDN31PV/ref=ewc_pr_img_2?smid=A2F4WL24P91UAV&amp;th=1</t>
  </si>
  <si>
    <t>https://www.amazon.com/-/es/gp/product/B07VQGHSWY/ref=ewc_pr_img_3?smid=AA0YO4F2UD50F&amp;th=1</t>
  </si>
  <si>
    <t>https://www.amazon.com/-/es/gp/product/B0DTJY9B1D/ref=ewc_pr_img_4?smid=ABNC1ZV0O9ATN&amp;psc=1</t>
  </si>
  <si>
    <t>https://www.amazon.com/-/es/gp/product/B08LD1JL8N/ref=sw_img_1?smid=A2SEQ57LRTT8C8&amp;th=1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</si>
</sst>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5" fillId="0" borderId="0" xfId="2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Hipervínculo" xfId="2" builtinId="8"/>
    <cellStyle name="Normal" xfId="0" builtinId="0"/>
    <cellStyle name="Normal 2" xfId="1" xr:uid="{0A396D59-60EE-41F6-B643-5C45D5EE5A12}"/>
  </cellStyles>
  <dxfs count="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F5AFE-1625-4198-9282-E6425B1027BC}" name="Tabla1" displayName="Tabla1" ref="A2:J28" totalsRowCount="1" headerRowDxfId="21" dataDxfId="20">
  <autoFilter ref="A2:J27" xr:uid="{6B6F5AFE-1625-4198-9282-E6425B1027BC}"/>
  <sortState xmlns:xlrd2="http://schemas.microsoft.com/office/spreadsheetml/2017/richdata2" ref="A3:J27">
    <sortCondition ref="D2:D27"/>
  </sortState>
  <tableColumns count="10">
    <tableColumn id="1" xr3:uid="{5C75BC85-D894-4008-9CD2-47017B22BEF0}" name="Componente" dataDxfId="19" totalsRowDxfId="18"/>
    <tableColumn id="2" xr3:uid="{D40A0512-833B-4780-A4CB-03F7410E8201}" name="Especificación" dataDxfId="17" totalsRowDxfId="16"/>
    <tableColumn id="3" xr3:uid="{189422F5-3226-42A5-A11B-B990B706EC57}" name="Cant." dataDxfId="15" totalsRowDxfId="14"/>
    <tableColumn id="4" xr3:uid="{6D4E9E9F-C7B3-4892-95D4-CB3D8C0CAB59}" name="Precio (C$)" dataDxfId="13" totalsRowDxfId="12"/>
    <tableColumn id="5" xr3:uid="{A8CE7127-303E-4BE5-A19B-7192D4EA1191}" name="Cantidad a comprar" dataDxfId="11" totalsRowDxfId="10"/>
    <tableColumn id="6" xr3:uid="{3BC9A72B-1998-4DB0-8D06-071018A6B902}" name="Precio" dataDxfId="9" totalsRowDxfId="8"/>
    <tableColumn id="7" xr3:uid="{FBF1C163-BFF9-4A4A-BB26-3E7AD48CDEC1}" name="Cantidad" dataDxfId="7" totalsRowDxfId="6"/>
    <tableColumn id="10" xr3:uid="{D75D8868-1530-490F-B073-A9D6DF7953A4}" name="Columna1" dataDxfId="5" totalsRowDxfId="4"/>
    <tableColumn id="8" xr3:uid="{AD9A2D31-3569-47FB-84A2-2A7B1D508FE1}" name="Precio dll" dataDxfId="3" totalsRowDxfId="2"/>
    <tableColumn id="9" xr3:uid="{98F56BD0-7B1F-4877-A785-10BA75BE3CF2}" name="Cantidad und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amazon.com/dp/B09KGWC1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B3D1-E21C-447F-8C09-3BE493678AEF}">
  <dimension ref="A1:L28"/>
  <sheetViews>
    <sheetView tabSelected="1" topLeftCell="A4" workbookViewId="0">
      <selection activeCell="H18" sqref="H18"/>
    </sheetView>
  </sheetViews>
  <sheetFormatPr baseColWidth="10" defaultRowHeight="15" x14ac:dyDescent="0.25"/>
  <cols>
    <col min="1" max="1" width="34.42578125" customWidth="1"/>
    <col min="2" max="2" width="63.5703125" customWidth="1"/>
    <col min="4" max="4" width="15.5703125" bestFit="1" customWidth="1"/>
    <col min="5" max="5" width="22.5703125" customWidth="1"/>
    <col min="6" max="6" width="16.85546875" customWidth="1"/>
    <col min="7" max="7" width="24.140625" bestFit="1" customWidth="1"/>
    <col min="8" max="8" width="24.140625" customWidth="1"/>
    <col min="9" max="9" width="14.7109375" bestFit="1" customWidth="1"/>
    <col min="10" max="10" width="13.7109375" bestFit="1" customWidth="1"/>
  </cols>
  <sheetData>
    <row r="1" spans="1:12" x14ac:dyDescent="0.25">
      <c r="D1" s="8" t="s">
        <v>57</v>
      </c>
      <c r="E1" s="8"/>
      <c r="F1" s="9" t="s">
        <v>58</v>
      </c>
      <c r="G1" s="9"/>
      <c r="H1" s="6"/>
      <c r="I1" s="9" t="s">
        <v>59</v>
      </c>
      <c r="J1" s="9"/>
    </row>
    <row r="2" spans="1:12" x14ac:dyDescent="0.25">
      <c r="A2" s="1" t="s">
        <v>0</v>
      </c>
      <c r="B2" s="1" t="s">
        <v>1</v>
      </c>
      <c r="C2" s="1" t="s">
        <v>2</v>
      </c>
      <c r="D2" s="1" t="s">
        <v>55</v>
      </c>
      <c r="E2" s="1" t="s">
        <v>56</v>
      </c>
      <c r="F2" s="1" t="s">
        <v>60</v>
      </c>
      <c r="G2" s="1" t="s">
        <v>61</v>
      </c>
      <c r="H2" s="1" t="s">
        <v>65</v>
      </c>
      <c r="I2" s="1" t="s">
        <v>62</v>
      </c>
      <c r="J2" s="1" t="s">
        <v>63</v>
      </c>
    </row>
    <row r="3" spans="1:12" x14ac:dyDescent="0.25">
      <c r="A3" s="2" t="s">
        <v>38</v>
      </c>
      <c r="B3" s="2" t="s">
        <v>39</v>
      </c>
      <c r="C3" s="4" t="s">
        <v>40</v>
      </c>
      <c r="D3" s="2">
        <v>3</v>
      </c>
      <c r="E3" s="2">
        <v>80</v>
      </c>
      <c r="F3" s="2"/>
      <c r="G3" s="2"/>
      <c r="H3" s="2"/>
      <c r="I3" s="2"/>
      <c r="J3" s="2"/>
      <c r="L3">
        <f>Tabla1[[#This Row],[Precio (C$)]]*Tabla1[[#This Row],[Cantidad a comprar]]+Tabla1[[#This Row],[Precio]]*Tabla1[[#This Row],[Cantidad]]+Tabla1[[#This Row],[Precio dll]]*Tabla1[[#This Row],[Cantidad und]]</f>
        <v>240</v>
      </c>
    </row>
    <row r="4" spans="1:12" x14ac:dyDescent="0.25">
      <c r="A4" s="2" t="s">
        <v>31</v>
      </c>
      <c r="B4" s="2" t="s">
        <v>32</v>
      </c>
      <c r="C4" s="4" t="s">
        <v>33</v>
      </c>
      <c r="D4" s="2">
        <v>4</v>
      </c>
      <c r="E4" s="2">
        <v>30</v>
      </c>
      <c r="F4" s="2">
        <v>6</v>
      </c>
      <c r="G4" s="2">
        <v>5</v>
      </c>
      <c r="H4" s="2"/>
      <c r="I4" s="2"/>
      <c r="J4" s="2"/>
      <c r="L4">
        <f>Tabla1[[#This Row],[Precio (C$)]]*Tabla1[[#This Row],[Cantidad a comprar]]+Tabla1[[#This Row],[Precio]]*Tabla1[[#This Row],[Cantidad]]+Tabla1[[#This Row],[Precio dll]]*Tabla1[[#This Row],[Cantidad und]]</f>
        <v>150</v>
      </c>
    </row>
    <row r="5" spans="1:12" x14ac:dyDescent="0.25">
      <c r="A5" s="2" t="s">
        <v>27</v>
      </c>
      <c r="B5" s="2" t="s">
        <v>28</v>
      </c>
      <c r="C5" s="4">
        <v>3</v>
      </c>
      <c r="D5" s="2">
        <v>5</v>
      </c>
      <c r="E5" s="2">
        <v>9</v>
      </c>
      <c r="F5" s="2"/>
      <c r="G5" s="2"/>
      <c r="H5" s="2"/>
      <c r="I5" s="2"/>
      <c r="J5" s="2"/>
      <c r="L5">
        <f>Tabla1[[#This Row],[Precio (C$)]]*Tabla1[[#This Row],[Cantidad a comprar]]+Tabla1[[#This Row],[Precio]]*Tabla1[[#This Row],[Cantidad]]+Tabla1[[#This Row],[Precio dll]]*Tabla1[[#This Row],[Cantidad und]]</f>
        <v>45</v>
      </c>
    </row>
    <row r="6" spans="1:12" x14ac:dyDescent="0.25">
      <c r="A6" s="2" t="s">
        <v>21</v>
      </c>
      <c r="B6" s="2" t="s">
        <v>22</v>
      </c>
      <c r="C6" s="4">
        <v>2</v>
      </c>
      <c r="D6" s="2">
        <v>18</v>
      </c>
      <c r="E6" s="2">
        <v>2</v>
      </c>
      <c r="F6" s="2"/>
      <c r="G6" s="2"/>
      <c r="H6" s="2"/>
      <c r="I6" s="2"/>
      <c r="J6" s="2"/>
      <c r="L6">
        <f>Tabla1[[#This Row],[Precio (C$)]]*Tabla1[[#This Row],[Cantidad a comprar]]+Tabla1[[#This Row],[Precio]]*Tabla1[[#This Row],[Cantidad]]+Tabla1[[#This Row],[Precio dll]]*Tabla1[[#This Row],[Cantidad und]]</f>
        <v>36</v>
      </c>
    </row>
    <row r="7" spans="1:12" x14ac:dyDescent="0.25">
      <c r="A7" s="2" t="s">
        <v>7</v>
      </c>
      <c r="B7" s="3" t="s">
        <v>8</v>
      </c>
      <c r="C7" s="4">
        <v>2</v>
      </c>
      <c r="D7" s="2">
        <v>150</v>
      </c>
      <c r="E7" s="2">
        <v>2</v>
      </c>
      <c r="F7" s="2"/>
      <c r="G7" s="2"/>
      <c r="H7" s="2"/>
      <c r="I7" s="2"/>
      <c r="J7" s="2"/>
      <c r="L7">
        <f>Tabla1[[#This Row],[Precio (C$)]]*Tabla1[[#This Row],[Cantidad a comprar]]+Tabla1[[#This Row],[Precio]]*Tabla1[[#This Row],[Cantidad]]+Tabla1[[#This Row],[Precio dll]]*Tabla1[[#This Row],[Cantidad und]]</f>
        <v>300</v>
      </c>
    </row>
    <row r="8" spans="1:12" x14ac:dyDescent="0.25">
      <c r="A8" s="2" t="s">
        <v>13</v>
      </c>
      <c r="B8" s="2" t="s">
        <v>14</v>
      </c>
      <c r="C8" s="4">
        <v>2</v>
      </c>
      <c r="D8" s="2">
        <v>280</v>
      </c>
      <c r="E8" s="2">
        <v>2</v>
      </c>
      <c r="F8" s="2"/>
      <c r="G8" s="2"/>
      <c r="H8" s="2"/>
      <c r="I8" s="2"/>
      <c r="J8" s="2"/>
      <c r="L8">
        <f>Tabla1[[#This Row],[Precio (C$)]]*Tabla1[[#This Row],[Cantidad a comprar]]+Tabla1[[#This Row],[Precio]]*Tabla1[[#This Row],[Cantidad]]+Tabla1[[#This Row],[Precio dll]]*Tabla1[[#This Row],[Cantidad und]]</f>
        <v>560</v>
      </c>
    </row>
    <row r="9" spans="1:12" x14ac:dyDescent="0.25">
      <c r="A9" s="2" t="s">
        <v>23</v>
      </c>
      <c r="B9" s="2" t="s">
        <v>24</v>
      </c>
      <c r="C9" s="4">
        <v>10</v>
      </c>
      <c r="D9" s="2"/>
      <c r="E9" s="2"/>
      <c r="F9" s="2">
        <v>6.49</v>
      </c>
      <c r="G9" s="2">
        <v>6</v>
      </c>
      <c r="H9" s="2"/>
      <c r="I9" s="2"/>
      <c r="J9" s="2"/>
      <c r="L9">
        <f>Tabla1[[#This Row],[Precio (C$)]]*Tabla1[[#This Row],[Cantidad a comprar]]+Tabla1[[#This Row],[Precio]]*Tabla1[[#This Row],[Cantidad]]+Tabla1[[#This Row],[Precio dll]]*Tabla1[[#This Row],[Cantidad und]]</f>
        <v>38.94</v>
      </c>
    </row>
    <row r="10" spans="1:12" x14ac:dyDescent="0.25">
      <c r="A10" s="3" t="s">
        <v>25</v>
      </c>
      <c r="B10" s="2" t="s">
        <v>26</v>
      </c>
      <c r="C10" s="4">
        <v>2</v>
      </c>
      <c r="D10" s="2"/>
      <c r="E10" s="2"/>
      <c r="F10" s="2">
        <v>9.99</v>
      </c>
      <c r="G10" s="2">
        <v>2</v>
      </c>
      <c r="H10" s="2"/>
      <c r="I10" s="2"/>
      <c r="J10" s="2"/>
      <c r="L10">
        <f>Tabla1[[#This Row],[Precio (C$)]]*Tabla1[[#This Row],[Cantidad a comprar]]+Tabla1[[#This Row],[Precio]]*Tabla1[[#This Row],[Cantidad]]+Tabla1[[#This Row],[Precio dll]]*Tabla1[[#This Row],[Cantidad und]]</f>
        <v>19.98</v>
      </c>
    </row>
    <row r="11" spans="1:12" x14ac:dyDescent="0.25">
      <c r="A11" s="2" t="s">
        <v>64</v>
      </c>
      <c r="B11" s="2"/>
      <c r="C11" s="4">
        <v>1</v>
      </c>
      <c r="D11" s="2"/>
      <c r="E11" s="2"/>
      <c r="F11" s="2">
        <v>67.010000000000005</v>
      </c>
      <c r="G11" s="2">
        <v>1</v>
      </c>
      <c r="H11" s="2"/>
      <c r="I11" s="2"/>
      <c r="J11" s="2"/>
      <c r="L11">
        <f>Tabla1[[#This Row],[Precio (C$)]]*Tabla1[[#This Row],[Cantidad a comprar]]+Tabla1[[#This Row],[Precio]]*Tabla1[[#This Row],[Cantidad]]+Tabla1[[#This Row],[Precio dll]]*Tabla1[[#This Row],[Cantidad und]]</f>
        <v>67.010000000000005</v>
      </c>
    </row>
    <row r="12" spans="1:12" x14ac:dyDescent="0.25">
      <c r="A12" s="2" t="s">
        <v>19</v>
      </c>
      <c r="B12" s="2" t="s">
        <v>20</v>
      </c>
      <c r="C12" s="4">
        <v>3</v>
      </c>
      <c r="D12" s="2"/>
      <c r="E12" s="2"/>
      <c r="F12" s="2">
        <v>73.47</v>
      </c>
      <c r="G12" s="2">
        <v>3</v>
      </c>
      <c r="H12" s="2"/>
      <c r="I12" s="2"/>
      <c r="J12" s="2"/>
      <c r="L12">
        <f>Tabla1[[#This Row],[Precio (C$)]]*Tabla1[[#This Row],[Cantidad a comprar]]+Tabla1[[#This Row],[Precio]]*Tabla1[[#This Row],[Cantidad]]+Tabla1[[#This Row],[Precio dll]]*Tabla1[[#This Row],[Cantidad und]]</f>
        <v>220.41</v>
      </c>
    </row>
    <row r="13" spans="1:12" x14ac:dyDescent="0.25">
      <c r="A13" s="2" t="s">
        <v>36</v>
      </c>
      <c r="B13" s="2" t="s">
        <v>37</v>
      </c>
      <c r="C13" s="4">
        <v>2</v>
      </c>
      <c r="D13" s="2"/>
      <c r="E13" s="2"/>
      <c r="F13" s="2">
        <v>92</v>
      </c>
      <c r="G13" s="2">
        <v>4</v>
      </c>
      <c r="H13" s="2"/>
      <c r="I13" s="2"/>
      <c r="J13" s="2"/>
      <c r="L13">
        <f>Tabla1[[#This Row],[Precio (C$)]]*Tabla1[[#This Row],[Cantidad a comprar]]+Tabla1[[#This Row],[Precio]]*Tabla1[[#This Row],[Cantidad]]+Tabla1[[#This Row],[Precio dll]]*Tabla1[[#This Row],[Cantidad und]]</f>
        <v>368</v>
      </c>
    </row>
    <row r="14" spans="1:12" x14ac:dyDescent="0.25">
      <c r="A14" s="2" t="s">
        <v>17</v>
      </c>
      <c r="B14" s="2" t="s">
        <v>18</v>
      </c>
      <c r="C14" s="4">
        <v>1</v>
      </c>
      <c r="D14" s="2"/>
      <c r="E14" s="2"/>
      <c r="F14" s="2">
        <v>242.05</v>
      </c>
      <c r="G14" s="2">
        <v>1</v>
      </c>
      <c r="H14" s="2"/>
      <c r="I14" s="2"/>
      <c r="J14" s="2"/>
      <c r="L14">
        <f>Tabla1[[#This Row],[Precio (C$)]]*Tabla1[[#This Row],[Cantidad a comprar]]+Tabla1[[#This Row],[Precio]]*Tabla1[[#This Row],[Cantidad]]+Tabla1[[#This Row],[Precio dll]]*Tabla1[[#This Row],[Cantidad und]]</f>
        <v>242.05</v>
      </c>
    </row>
    <row r="15" spans="1:12" x14ac:dyDescent="0.25">
      <c r="A15" s="2" t="s">
        <v>34</v>
      </c>
      <c r="B15" s="2" t="s">
        <v>35</v>
      </c>
      <c r="C15" s="4">
        <v>1</v>
      </c>
      <c r="D15" s="2"/>
      <c r="E15" s="2"/>
      <c r="F15" s="2">
        <v>270</v>
      </c>
      <c r="G15" s="2">
        <v>1</v>
      </c>
      <c r="H15" s="2"/>
      <c r="I15" s="2"/>
      <c r="J15" s="2"/>
      <c r="L15">
        <f>Tabla1[[#This Row],[Precio (C$)]]*Tabla1[[#This Row],[Cantidad a comprar]]+Tabla1[[#This Row],[Precio]]*Tabla1[[#This Row],[Cantidad]]+Tabla1[[#This Row],[Precio dll]]*Tabla1[[#This Row],[Cantidad und]]</f>
        <v>270</v>
      </c>
    </row>
    <row r="16" spans="1:12" ht="21" customHeight="1" x14ac:dyDescent="0.25">
      <c r="A16" s="2" t="s">
        <v>3</v>
      </c>
      <c r="B16" s="2" t="s">
        <v>4</v>
      </c>
      <c r="C16" s="4">
        <v>1</v>
      </c>
      <c r="D16" s="2"/>
      <c r="E16" s="2"/>
      <c r="F16" s="2"/>
      <c r="G16" s="2"/>
      <c r="H16" s="7" t="s">
        <v>66</v>
      </c>
      <c r="I16" s="2"/>
      <c r="J16" s="2"/>
      <c r="L16">
        <f>Tabla1[[#This Row],[Precio (C$)]]*Tabla1[[#This Row],[Cantidad a comprar]]+Tabla1[[#This Row],[Precio]]*Tabla1[[#This Row],[Cantidad]]+Tabla1[[#This Row],[Precio dll]]*Tabla1[[#This Row],[Cantidad und]]</f>
        <v>0</v>
      </c>
    </row>
    <row r="17" spans="1:12" x14ac:dyDescent="0.25">
      <c r="A17" s="2" t="s">
        <v>5</v>
      </c>
      <c r="B17" s="2" t="s">
        <v>6</v>
      </c>
      <c r="C17" s="4">
        <v>1</v>
      </c>
      <c r="D17" s="2"/>
      <c r="E17" s="2"/>
      <c r="F17" s="2"/>
      <c r="G17" s="2"/>
      <c r="H17" s="2"/>
      <c r="I17" s="2"/>
      <c r="J17" s="2"/>
      <c r="L17">
        <f>Tabla1[[#This Row],[Precio (C$)]]*Tabla1[[#This Row],[Cantidad a comprar]]+Tabla1[[#This Row],[Precio]]*Tabla1[[#This Row],[Cantidad]]+Tabla1[[#This Row],[Precio dll]]*Tabla1[[#This Row],[Cantidad und]]</f>
        <v>0</v>
      </c>
    </row>
    <row r="18" spans="1:12" ht="75" x14ac:dyDescent="0.25">
      <c r="A18" s="2" t="s">
        <v>9</v>
      </c>
      <c r="B18" s="2" t="s">
        <v>10</v>
      </c>
      <c r="C18" s="4">
        <v>1</v>
      </c>
      <c r="D18" s="2"/>
      <c r="E18" s="2"/>
      <c r="F18" s="2"/>
      <c r="G18" s="2"/>
      <c r="H18" s="2" t="s">
        <v>70</v>
      </c>
      <c r="I18" s="2"/>
      <c r="J18" s="2"/>
      <c r="L18">
        <f>Tabla1[[#This Row],[Precio (C$)]]*Tabla1[[#This Row],[Cantidad a comprar]]+Tabla1[[#This Row],[Precio]]*Tabla1[[#This Row],[Cantidad]]+Tabla1[[#This Row],[Precio dll]]*Tabla1[[#This Row],[Cantidad und]]</f>
        <v>0</v>
      </c>
    </row>
    <row r="19" spans="1:12" ht="90" x14ac:dyDescent="0.25">
      <c r="A19" s="2" t="s">
        <v>11</v>
      </c>
      <c r="B19" s="2" t="s">
        <v>12</v>
      </c>
      <c r="C19" s="4">
        <v>2</v>
      </c>
      <c r="D19" s="2"/>
      <c r="E19" s="2"/>
      <c r="F19" s="2"/>
      <c r="G19" s="2"/>
      <c r="H19" s="2" t="s">
        <v>69</v>
      </c>
      <c r="I19" s="2"/>
      <c r="J19" s="2"/>
      <c r="L19">
        <f>Tabla1[[#This Row],[Precio (C$)]]*Tabla1[[#This Row],[Cantidad a comprar]]+Tabla1[[#This Row],[Precio]]*Tabla1[[#This Row],[Cantidad]]+Tabla1[[#This Row],[Precio dll]]*Tabla1[[#This Row],[Cantidad und]]</f>
        <v>0</v>
      </c>
    </row>
    <row r="20" spans="1:12" ht="90" x14ac:dyDescent="0.25">
      <c r="A20" s="2" t="s">
        <v>15</v>
      </c>
      <c r="B20" s="2" t="s">
        <v>16</v>
      </c>
      <c r="C20" s="4">
        <v>1</v>
      </c>
      <c r="D20" s="2"/>
      <c r="E20" s="2"/>
      <c r="F20" s="2"/>
      <c r="G20" s="2"/>
      <c r="H20" s="2" t="s">
        <v>68</v>
      </c>
      <c r="I20" s="2"/>
      <c r="J20" s="2"/>
      <c r="L20">
        <f>Tabla1[[#This Row],[Precio (C$)]]*Tabla1[[#This Row],[Cantidad a comprar]]+Tabla1[[#This Row],[Precio]]*Tabla1[[#This Row],[Cantidad]]+Tabla1[[#This Row],[Precio dll]]*Tabla1[[#This Row],[Cantidad und]]</f>
        <v>0</v>
      </c>
    </row>
    <row r="21" spans="1:12" ht="90" x14ac:dyDescent="0.25">
      <c r="A21" s="2" t="s">
        <v>29</v>
      </c>
      <c r="B21" s="2" t="s">
        <v>30</v>
      </c>
      <c r="C21" s="4">
        <v>1</v>
      </c>
      <c r="D21" s="2"/>
      <c r="E21" s="2"/>
      <c r="F21" s="2"/>
      <c r="G21" s="2"/>
      <c r="H21" s="2" t="s">
        <v>67</v>
      </c>
      <c r="I21" s="2"/>
      <c r="J21" s="2"/>
      <c r="L21">
        <f>Tabla1[[#This Row],[Precio (C$)]]*Tabla1[[#This Row],[Cantidad a comprar]]+Tabla1[[#This Row],[Precio]]*Tabla1[[#This Row],[Cantidad]]+Tabla1[[#This Row],[Precio dll]]*Tabla1[[#This Row],[Cantidad und]]</f>
        <v>0</v>
      </c>
    </row>
    <row r="22" spans="1:12" x14ac:dyDescent="0.25">
      <c r="A22" s="3" t="s">
        <v>41</v>
      </c>
      <c r="B22" s="2" t="s">
        <v>42</v>
      </c>
      <c r="C22" s="4" t="s">
        <v>43</v>
      </c>
      <c r="D22" s="2"/>
      <c r="E22" s="2"/>
      <c r="F22" s="2"/>
      <c r="G22" s="2"/>
      <c r="H22" s="2"/>
      <c r="I22" s="2"/>
      <c r="J22" s="2"/>
      <c r="L22">
        <f>Tabla1[[#This Row],[Precio (C$)]]*Tabla1[[#This Row],[Cantidad a comprar]]+Tabla1[[#This Row],[Precio]]*Tabla1[[#This Row],[Cantidad]]+Tabla1[[#This Row],[Precio dll]]*Tabla1[[#This Row],[Cantidad und]]</f>
        <v>0</v>
      </c>
    </row>
    <row r="23" spans="1:12" x14ac:dyDescent="0.25">
      <c r="A23" s="2" t="s">
        <v>44</v>
      </c>
      <c r="B23" s="2" t="s">
        <v>45</v>
      </c>
      <c r="C23" s="4">
        <v>20</v>
      </c>
      <c r="D23" s="2"/>
      <c r="E23" s="2"/>
      <c r="F23" s="2"/>
      <c r="G23" s="2"/>
      <c r="H23" s="2"/>
      <c r="I23" s="2"/>
      <c r="J23" s="2"/>
      <c r="L23">
        <f>Tabla1[[#This Row],[Precio (C$)]]*Tabla1[[#This Row],[Cantidad a comprar]]+Tabla1[[#This Row],[Precio]]*Tabla1[[#This Row],[Cantidad]]+Tabla1[[#This Row],[Precio dll]]*Tabla1[[#This Row],[Cantidad und]]</f>
        <v>0</v>
      </c>
    </row>
    <row r="24" spans="1:12" x14ac:dyDescent="0.25">
      <c r="A24" s="2" t="s">
        <v>46</v>
      </c>
      <c r="B24" s="2" t="s">
        <v>47</v>
      </c>
      <c r="C24" s="4">
        <v>4</v>
      </c>
      <c r="D24" s="2"/>
      <c r="E24" s="2"/>
      <c r="F24" s="2"/>
      <c r="G24" s="2"/>
      <c r="H24" s="2"/>
      <c r="I24" s="2"/>
      <c r="J24" s="2"/>
      <c r="L24">
        <f>Tabla1[[#This Row],[Precio (C$)]]*Tabla1[[#This Row],[Cantidad a comprar]]+Tabla1[[#This Row],[Precio]]*Tabla1[[#This Row],[Cantidad]]+Tabla1[[#This Row],[Precio dll]]*Tabla1[[#This Row],[Cantidad und]]</f>
        <v>0</v>
      </c>
    </row>
    <row r="25" spans="1:12" x14ac:dyDescent="0.25">
      <c r="A25" s="2" t="s">
        <v>48</v>
      </c>
      <c r="B25" s="2" t="s">
        <v>49</v>
      </c>
      <c r="C25" s="4">
        <v>1</v>
      </c>
      <c r="D25" s="2"/>
      <c r="E25" s="2"/>
      <c r="F25" s="2"/>
      <c r="G25" s="2"/>
      <c r="H25" s="2"/>
      <c r="I25" s="2"/>
      <c r="J25" s="2"/>
      <c r="L25">
        <f>Tabla1[[#This Row],[Precio (C$)]]*Tabla1[[#This Row],[Cantidad a comprar]]+Tabla1[[#This Row],[Precio]]*Tabla1[[#This Row],[Cantidad]]+Tabla1[[#This Row],[Precio dll]]*Tabla1[[#This Row],[Cantidad und]]</f>
        <v>0</v>
      </c>
    </row>
    <row r="26" spans="1:12" x14ac:dyDescent="0.25">
      <c r="A26" s="2" t="s">
        <v>50</v>
      </c>
      <c r="B26" s="2" t="s">
        <v>51</v>
      </c>
      <c r="C26" s="4" t="s">
        <v>52</v>
      </c>
      <c r="D26" s="2"/>
      <c r="E26" s="2"/>
      <c r="F26" s="2"/>
      <c r="G26" s="5"/>
      <c r="H26" s="5"/>
      <c r="I26" s="2"/>
      <c r="J26" s="2"/>
      <c r="L26">
        <f>Tabla1[[#This Row],[Precio (C$)]]*Tabla1[[#This Row],[Cantidad a comprar]]+Tabla1[[#This Row],[Precio]]*Tabla1[[#This Row],[Cantidad]]+Tabla1[[#This Row],[Precio dll]]*Tabla1[[#This Row],[Cantidad und]]</f>
        <v>0</v>
      </c>
    </row>
    <row r="27" spans="1:12" x14ac:dyDescent="0.25">
      <c r="A27" s="3" t="s">
        <v>53</v>
      </c>
      <c r="B27" s="2" t="s">
        <v>54</v>
      </c>
      <c r="C27" s="4">
        <v>2</v>
      </c>
      <c r="D27" s="2"/>
      <c r="E27" s="2"/>
      <c r="F27" s="2"/>
      <c r="G27" s="2"/>
      <c r="H27" s="2"/>
      <c r="I27" s="2"/>
      <c r="J27" s="2"/>
      <c r="L27">
        <f>Tabla1[[#This Row],[Precio (C$)]]*Tabla1[[#This Row],[Cantidad a comprar]]+Tabla1[[#This Row],[Precio]]*Tabla1[[#This Row],[Cantidad]]+Tabla1[[#This Row],[Precio dll]]*Tabla1[[#This Row],[Cantidad und]]</f>
        <v>0</v>
      </c>
    </row>
    <row r="28" spans="1:12" x14ac:dyDescent="0.25">
      <c r="A28" s="2"/>
      <c r="B28" s="2"/>
      <c r="C28" s="4"/>
      <c r="D28" s="2"/>
      <c r="E28" s="2"/>
      <c r="F28" s="2"/>
      <c r="G28" s="2"/>
      <c r="H28" s="2"/>
      <c r="I28" s="2"/>
      <c r="J28" s="2"/>
      <c r="L28">
        <f>SUM(L3:L27)</f>
        <v>2557.3900000000003</v>
      </c>
    </row>
  </sheetData>
  <mergeCells count="3">
    <mergeCell ref="D1:E1"/>
    <mergeCell ref="F1:G1"/>
    <mergeCell ref="I1:J1"/>
  </mergeCells>
  <phoneticPr fontId="4" type="noConversion"/>
  <hyperlinks>
    <hyperlink ref="H16" r:id="rId1" xr:uid="{51A9AD29-7F64-46ED-A5A8-37A859017EE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Espinoza</dc:creator>
  <cp:lastModifiedBy>Carlos Espinoza</cp:lastModifiedBy>
  <dcterms:created xsi:type="dcterms:W3CDTF">2026-08-16T01:34:32Z</dcterms:created>
  <dcterms:modified xsi:type="dcterms:W3CDTF">2026-08-21T19:57:07Z</dcterms:modified>
</cp:coreProperties>
</file>